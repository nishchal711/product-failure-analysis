
<file path=[Content_Types].xml><?xml version="1.0" encoding="utf-8"?>
<ns0:Types xmlns:ns0="http://schemas.openxmlformats.org/package/2006/content-types">
  <ns0:Default Extension="rels" ContentType="application/vnd.openxmlformats-package.relationships+xml"/>
  <ns0:Default Extension="xml" ContentType="application/xml"/>
  <ns0:Override PartName="/xl/styles.xml" ContentType="application/vnd.openxmlformats-officedocument.spreadsheetml.styles+xml"/>
  <ns0:Override PartName="/xl/theme/theme1.xml" ContentType="application/vnd.openxmlformats-officedocument.theme+xml"/>
  <ns0:Override PartName="/docProps/core.xml" ContentType="application/vnd.openxmlformats-package.core-properties+xml"/>
  <ns0:Override PartName="/docProps/app.xml" ContentType="application/vnd.openxmlformats-officedocument.extended-properties+xml"/>
  <ns0:Override PartName="/xl/worksheets/sheet1.xml" ContentType="application/vnd.openxmlformats-officedocument.spreadsheetml.worksheet+xml"/>
  <ns0:Override PartName="/xl/worksheets/sheet2.xml" ContentType="application/vnd.openxmlformats-officedocument.spreadsheetml.worksheet+xml"/>
  <ns0:Override PartName="/xl/workbook.xml" ContentType="application/vnd.openxmlformats-officedocument.spreadsheetml.sheet.main+xml"/>
</ns0:Types>
</file>

<file path=_rels/.rels><ns0:Relationships xmlns:ns0="http://schemas.openxmlformats.org/package/2006/relationships"><ns0:Relationship Type="http://schemas.openxmlformats.org/officeDocument/2006/relationships/officeDocument" Target="xl/workbook.xml" Id="rId1" /><ns0:Relationship Type="http://schemas.openxmlformats.org/package/2006/relationships/metadata/core-properties" Target="docProps/core.xml" Id="rId2" /><ns0:Relationship Type="http://schemas.openxmlformats.org/officeDocument/2006/relationships/extended-properties" Target="docProps/app.xml" Id="rId3" /></ns0: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chine Failure Dataset" sheetId="1" state="visible" r:id="rId1"/>
    <sheet xmlns:r="http://schemas.openxmlformats.org/officeDocument/2006/relationships" name="Failure Pattern Summary" sheetId="2" state="visible" r:id="rId2"/>
  </sheets>
  <definedNames>
    <definedName name="_xlnm._FilterDatabase" localSheetId="0" hidden="1">'Machine Failure Dataset'!$A$2:$H$20</definedName>
  </definedNames>
  <calcPr calcId="124519" fullCalcOnLoad="1"/>
</workbook>
</file>

<file path=xl/styles.xml><?xml version="1.0" encoding="utf-8"?>
<styleSheet xmlns="http://schemas.openxmlformats.org/spreadsheetml/2006/main">
  <numFmts count="1">
    <numFmt numFmtId="164" formatCode="0.0"/>
  </numFmts>
  <fonts count="8">
    <font>
      <name val="Calibri"/>
      <family val="2"/>
      <color theme="1"/>
      <sz val="11"/>
      <scheme val="minor"/>
    </font>
    <font>
      <name val="Calibri"/>
      <b val="1"/>
      <color rgb="00FFFFFF"/>
      <sz val="14"/>
    </font>
    <font>
      <name val="Calibri"/>
      <b val="1"/>
      <color rgb="00FFFFFF"/>
      <sz val="11"/>
    </font>
    <font>
      <name val="Calibri"/>
      <i val="1"/>
      <color rgb="00595959"/>
      <sz val="10"/>
    </font>
    <font>
      <name val="Calibri"/>
      <b val="1"/>
      <color rgb="001F4E79"/>
      <sz val="12"/>
    </font>
    <font>
      <name val="Calibri"/>
      <b val="1"/>
      <sz val="11"/>
    </font>
    <font>
      <name val="Calibri"/>
      <sz val="11"/>
    </font>
    <font>
      <name val="Calibri"/>
      <sz val="10"/>
    </font>
  </fonts>
  <fills count="7">
    <fill>
      <patternFill/>
    </fill>
    <fill>
      <patternFill patternType="gray125"/>
    </fill>
    <fill>
      <patternFill patternType="solid">
        <fgColor rgb="001F4E79"/>
        <bgColor rgb="001F4E79"/>
      </patternFill>
    </fill>
    <fill>
      <patternFill patternType="solid">
        <fgColor rgb="00E8EEF7"/>
        <bgColor rgb="00E8EEF7"/>
      </patternFill>
    </fill>
    <fill>
      <patternFill patternType="solid">
        <fgColor rgb="004472C4"/>
        <bgColor rgb="004472C4"/>
      </patternFill>
    </fill>
    <fill>
      <patternFill patternType="solid">
        <fgColor rgb="00FCE5CD"/>
        <bgColor rgb="00FCE5CD"/>
      </patternFill>
    </fill>
    <fill>
      <patternFill patternType="solid">
        <fgColor rgb="00C6E0B4"/>
        <bgColor rgb="00C6E0B4"/>
      </patternFill>
    </fill>
  </fills>
  <borders count="2">
    <border>
      <left/>
      <right/>
      <top/>
      <bottom/>
      <diagonal/>
    </border>
    <border>
      <left style="thin"/>
      <right style="thin"/>
      <top style="thin"/>
      <bottom style="thin"/>
    </border>
  </borders>
  <cellStyleXfs count="1">
    <xf numFmtId="0" fontId="0" fillId="0" borderId="0"/>
  </cellStyleXfs>
  <cellXfs count="21">
    <xf numFmtId="0" fontId="0" fillId="0" borderId="0" pivotButton="0" quotePrefix="0" xfId="0"/>
    <xf numFmtId="0" fontId="1" fillId="2" borderId="0" applyAlignment="1" pivotButton="0" quotePrefix="0" xfId="0">
      <alignment horizontal="center" vertical="center"/>
    </xf>
    <xf numFmtId="0" fontId="2" fillId="2" borderId="1" applyAlignment="1" pivotButton="0" quotePrefix="0" xfId="0">
      <alignment horizontal="center" vertical="center" wrapText="1"/>
    </xf>
    <xf numFmtId="0" fontId="0" fillId="0" borderId="1" applyAlignment="1" pivotButton="0" quotePrefix="0" xfId="0">
      <alignment horizontal="center"/>
    </xf>
    <xf numFmtId="164" fontId="0" fillId="0" borderId="1" applyAlignment="1" pivotButton="0" quotePrefix="0" xfId="0">
      <alignment horizontal="right"/>
    </xf>
    <xf numFmtId="2" fontId="0" fillId="0" borderId="1" applyAlignment="1" pivotButton="0" quotePrefix="0" xfId="0">
      <alignment horizontal="right"/>
    </xf>
    <xf numFmtId="3" fontId="0" fillId="0" borderId="1" applyAlignment="1" pivotButton="0" quotePrefix="0" xfId="0">
      <alignment horizontal="right"/>
    </xf>
    <xf numFmtId="0" fontId="0" fillId="3" borderId="1" applyAlignment="1" pivotButton="0" quotePrefix="0" xfId="0">
      <alignment horizontal="center"/>
    </xf>
    <xf numFmtId="164" fontId="0" fillId="3" borderId="1" applyAlignment="1" pivotButton="0" quotePrefix="0" xfId="0">
      <alignment horizontal="right"/>
    </xf>
    <xf numFmtId="2" fontId="0" fillId="3" borderId="1" applyAlignment="1" pivotButton="0" quotePrefix="0" xfId="0">
      <alignment horizontal="right"/>
    </xf>
    <xf numFmtId="3" fontId="0" fillId="3" borderId="1" applyAlignment="1" pivotButton="0" quotePrefix="0" xfId="0">
      <alignment horizontal="right"/>
    </xf>
    <xf numFmtId="0" fontId="3" fillId="0" borderId="0" applyAlignment="1" pivotButton="0" quotePrefix="0" xfId="0">
      <alignment horizontal="left" vertical="top" wrapText="1"/>
    </xf>
    <xf numFmtId="0" fontId="4" fillId="0" borderId="0" pivotButton="0" quotePrefix="0" xfId="0"/>
    <xf numFmtId="0" fontId="5" fillId="0" borderId="0" pivotButton="0" quotePrefix="0" xfId="0"/>
    <xf numFmtId="3" fontId="6" fillId="3" borderId="0" pivotButton="0" quotePrefix="0" xfId="0"/>
    <xf numFmtId="164" fontId="6" fillId="3" borderId="0" pivotButton="0" quotePrefix="0" xfId="0"/>
    <xf numFmtId="0" fontId="2" fillId="4" borderId="1" applyAlignment="1" pivotButton="0" quotePrefix="0" xfId="0">
      <alignment horizontal="center"/>
    </xf>
    <xf numFmtId="0" fontId="6" fillId="0" borderId="1" pivotButton="0" quotePrefix="0" xfId="0"/>
    <xf numFmtId="164" fontId="0" fillId="5" borderId="1" applyAlignment="1" pivotButton="0" quotePrefix="0" xfId="0">
      <alignment horizontal="center"/>
    </xf>
    <xf numFmtId="164" fontId="0" fillId="6" borderId="1" applyAlignment="1" pivotButton="0" quotePrefix="0" xfId="0">
      <alignment horizontal="center"/>
    </xf>
    <xf numFmtId="0" fontId="7" fillId="0" borderId="0" applyAlignment="1" pivotButton="0" quotePrefix="0" xfId="0">
      <alignment horizontal="left" vertical="top" wrapText="1"/>
    </xf>
  </cellXfs>
  <cellStyles count="1">
    <cellStyle name="Normal" xfId="0" builtinId="0" hidden="0"/>
  </cellStyles>
  <dxfs count="4">
    <dxf>
      <fill>
        <patternFill patternType="solid">
          <fgColor rgb="00F4CCCC"/>
          <bgColor rgb="00F4CCCC"/>
        </patternFill>
      </fill>
    </dxf>
    <dxf>
      <fill>
        <patternFill patternType="solid">
          <fgColor rgb="00FCE5CD"/>
          <bgColor rgb="00FCE5CD"/>
        </patternFill>
      </fill>
    </dxf>
    <dxf>
      <font>
        <b val="1"/>
        <color rgb="00FFFFFF"/>
      </font>
      <fill>
        <patternFill patternType="solid">
          <fgColor rgb="00EA9999"/>
          <bgColor rgb="00EA9999"/>
        </patternFill>
      </fill>
    </dxf>
    <dxf>
      <font>
        <b val="1"/>
      </font>
      <fill>
        <patternFill patternType="solid">
          <fgColor rgb="00F9CB9C"/>
          <bgColor rgb="00F9CB9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2"/>
  <sheetViews>
    <sheetView workbookViewId="0">
      <pane ySplit="2" topLeftCell="A3" activePane="bottomLeft" state="frozen"/>
      <selection pane="bottomLeft" activeCell="A1" sqref="A1"/>
    </sheetView>
  </sheetViews>
  <sheetFormatPr baseColWidth="8" defaultRowHeight="15"/>
  <cols>
    <col width="12" customWidth="1" min="1" max="1"/>
    <col width="16" customWidth="1" min="2" max="2"/>
    <col width="14" customWidth="1" min="3" max="3"/>
    <col width="16" customWidth="1" min="4" max="4"/>
    <col width="12" customWidth="1" min="5" max="5"/>
    <col width="14" customWidth="1" min="6" max="6"/>
    <col width="18" customWidth="1" min="7" max="7"/>
    <col width="15" customWidth="1" min="8" max="8"/>
  </cols>
  <sheetData>
    <row r="1" ht="25" customHeight="1">
      <c r="A1" s="1" t="inlineStr">
        <is>
          <t>Machine Failure Analysis Dataset</t>
        </is>
      </c>
    </row>
    <row r="2" ht="30" customHeight="1">
      <c r="A2" s="2" t="inlineStr">
        <is>
          <t>Machine ID</t>
        </is>
      </c>
      <c r="B2" s="2" t="inlineStr">
        <is>
          <t>Temperature (°C)</t>
        </is>
      </c>
      <c r="C2" s="2" t="inlineStr">
        <is>
          <t>Pressure (PSI)</t>
        </is>
      </c>
      <c r="D2" s="2" t="inlineStr">
        <is>
          <t>Vibration Level</t>
        </is>
      </c>
      <c r="E2" s="2" t="inlineStr">
        <is>
          <t>Humidity (%)</t>
        </is>
      </c>
      <c r="F2" s="2" t="inlineStr">
        <is>
          <t>Runtime Hours</t>
        </is>
      </c>
      <c r="G2" s="2" t="inlineStr">
        <is>
          <t>Maintenance Status</t>
        </is>
      </c>
      <c r="H2" s="2" t="inlineStr">
        <is>
          <t>Failure Status</t>
        </is>
      </c>
    </row>
    <row r="3">
      <c r="A3" s="3" t="inlineStr">
        <is>
          <t>MCH-001</t>
        </is>
      </c>
      <c r="B3" s="4" t="n">
        <v>72.5</v>
      </c>
      <c r="C3" s="4" t="n">
        <v>85.2</v>
      </c>
      <c r="D3" s="5" t="n">
        <v>2.1</v>
      </c>
      <c r="E3" s="4" t="n">
        <v>45</v>
      </c>
      <c r="F3" s="6" t="n">
        <v>1200</v>
      </c>
      <c r="G3" s="3" t="inlineStr">
        <is>
          <t>Good</t>
        </is>
      </c>
      <c r="H3" s="3" t="inlineStr">
        <is>
          <t>No</t>
        </is>
      </c>
    </row>
    <row r="4">
      <c r="A4" s="7" t="inlineStr">
        <is>
          <t>MCH-002</t>
        </is>
      </c>
      <c r="B4" s="8" t="n">
        <v>85.3</v>
      </c>
      <c r="C4" s="8" t="n">
        <v>98.7</v>
      </c>
      <c r="D4" s="9" t="n">
        <v>4.5</v>
      </c>
      <c r="E4" s="8" t="n">
        <v>62</v>
      </c>
      <c r="F4" s="10" t="n">
        <v>4500</v>
      </c>
      <c r="G4" s="7" t="inlineStr">
        <is>
          <t>Poor</t>
        </is>
      </c>
      <c r="H4" s="7" t="inlineStr">
        <is>
          <t>Yes</t>
        </is>
      </c>
    </row>
    <row r="5">
      <c r="A5" s="3" t="inlineStr">
        <is>
          <t>MCH-003</t>
        </is>
      </c>
      <c r="B5" s="4" t="n">
        <v>68</v>
      </c>
      <c r="C5" s="4" t="n">
        <v>78.5</v>
      </c>
      <c r="D5" s="5" t="n">
        <v>1.8</v>
      </c>
      <c r="E5" s="4" t="n">
        <v>38</v>
      </c>
      <c r="F5" s="6" t="n">
        <v>800</v>
      </c>
      <c r="G5" s="3" t="inlineStr">
        <is>
          <t>Good</t>
        </is>
      </c>
      <c r="H5" s="3" t="inlineStr">
        <is>
          <t>No</t>
        </is>
      </c>
    </row>
    <row r="6">
      <c r="A6" s="7" t="inlineStr">
        <is>
          <t>MCH-004</t>
        </is>
      </c>
      <c r="B6" s="8" t="n">
        <v>92.09999999999999</v>
      </c>
      <c r="C6" s="8" t="n">
        <v>105.2</v>
      </c>
      <c r="D6" s="9" t="n">
        <v>5.2</v>
      </c>
      <c r="E6" s="8" t="n">
        <v>71</v>
      </c>
      <c r="F6" s="10" t="n">
        <v>5200</v>
      </c>
      <c r="G6" s="7" t="inlineStr">
        <is>
          <t>Poor</t>
        </is>
      </c>
      <c r="H6" s="7" t="inlineStr">
        <is>
          <t>Yes</t>
        </is>
      </c>
    </row>
    <row r="7">
      <c r="A7" s="3" t="inlineStr">
        <is>
          <t>MCH-005</t>
        </is>
      </c>
      <c r="B7" s="4" t="n">
        <v>75.2</v>
      </c>
      <c r="C7" s="4" t="n">
        <v>88.3</v>
      </c>
      <c r="D7" s="5" t="n">
        <v>2.8</v>
      </c>
      <c r="E7" s="4" t="n">
        <v>52</v>
      </c>
      <c r="F7" s="6" t="n">
        <v>2100</v>
      </c>
      <c r="G7" s="3" t="inlineStr">
        <is>
          <t>Average</t>
        </is>
      </c>
      <c r="H7" s="3" t="inlineStr">
        <is>
          <t>No</t>
        </is>
      </c>
    </row>
    <row r="8">
      <c r="A8" s="7" t="inlineStr">
        <is>
          <t>MCH-006</t>
        </is>
      </c>
      <c r="B8" s="8" t="n">
        <v>88.5</v>
      </c>
      <c r="C8" s="8" t="n">
        <v>102.1</v>
      </c>
      <c r="D8" s="9" t="n">
        <v>4.8</v>
      </c>
      <c r="E8" s="8" t="n">
        <v>68</v>
      </c>
      <c r="F8" s="10" t="n">
        <v>4800</v>
      </c>
      <c r="G8" s="7" t="inlineStr">
        <is>
          <t>Average</t>
        </is>
      </c>
      <c r="H8" s="7" t="inlineStr">
        <is>
          <t>Yes</t>
        </is>
      </c>
    </row>
    <row r="9">
      <c r="A9" s="3" t="inlineStr">
        <is>
          <t>MCH-007</t>
        </is>
      </c>
      <c r="B9" s="4" t="n">
        <v>70</v>
      </c>
      <c r="C9" s="4" t="n">
        <v>82</v>
      </c>
      <c r="D9" s="5" t="n">
        <v>2</v>
      </c>
      <c r="E9" s="4" t="n">
        <v>42</v>
      </c>
      <c r="F9" s="6" t="n">
        <v>950</v>
      </c>
      <c r="G9" s="3" t="inlineStr">
        <is>
          <t>Good</t>
        </is>
      </c>
      <c r="H9" s="3" t="inlineStr">
        <is>
          <t>No</t>
        </is>
      </c>
    </row>
    <row r="10">
      <c r="A10" s="7" t="inlineStr">
        <is>
          <t>MCH-008</t>
        </is>
      </c>
      <c r="B10" s="8" t="n">
        <v>81.2</v>
      </c>
      <c r="C10" s="8" t="n">
        <v>94.5</v>
      </c>
      <c r="D10" s="9" t="n">
        <v>3.9</v>
      </c>
      <c r="E10" s="8" t="n">
        <v>58</v>
      </c>
      <c r="F10" s="10" t="n">
        <v>3800</v>
      </c>
      <c r="G10" s="7" t="inlineStr">
        <is>
          <t>Average</t>
        </is>
      </c>
      <c r="H10" s="7" t="inlineStr">
        <is>
          <t>Yes</t>
        </is>
      </c>
    </row>
    <row r="11">
      <c r="A11" s="3" t="inlineStr">
        <is>
          <t>MCH-009</t>
        </is>
      </c>
      <c r="B11" s="4" t="n">
        <v>65.5</v>
      </c>
      <c r="C11" s="4" t="n">
        <v>76.2</v>
      </c>
      <c r="D11" s="5" t="n">
        <v>1.5</v>
      </c>
      <c r="E11" s="4" t="n">
        <v>35</v>
      </c>
      <c r="F11" s="6" t="n">
        <v>600</v>
      </c>
      <c r="G11" s="3" t="inlineStr">
        <is>
          <t>Good</t>
        </is>
      </c>
      <c r="H11" s="3" t="inlineStr">
        <is>
          <t>No</t>
        </is>
      </c>
    </row>
    <row r="12">
      <c r="A12" s="7" t="inlineStr">
        <is>
          <t>MCH-010</t>
        </is>
      </c>
      <c r="B12" s="8" t="n">
        <v>90.8</v>
      </c>
      <c r="C12" s="8" t="n">
        <v>103.5</v>
      </c>
      <c r="D12" s="9" t="n">
        <v>5.1</v>
      </c>
      <c r="E12" s="8" t="n">
        <v>70</v>
      </c>
      <c r="F12" s="10" t="n">
        <v>5100</v>
      </c>
      <c r="G12" s="7" t="inlineStr">
        <is>
          <t>Poor</t>
        </is>
      </c>
      <c r="H12" s="7" t="inlineStr">
        <is>
          <t>Yes</t>
        </is>
      </c>
    </row>
    <row r="13">
      <c r="A13" s="3" t="inlineStr">
        <is>
          <t>MCH-011</t>
        </is>
      </c>
      <c r="B13" s="4" t="n">
        <v>77.3</v>
      </c>
      <c r="C13" s="4" t="n">
        <v>89.8</v>
      </c>
      <c r="D13" s="5" t="n">
        <v>3.2</v>
      </c>
      <c r="E13" s="4" t="n">
        <v>54</v>
      </c>
      <c r="F13" s="6" t="n">
        <v>2400</v>
      </c>
      <c r="G13" s="3" t="inlineStr">
        <is>
          <t>Average</t>
        </is>
      </c>
      <c r="H13" s="3" t="inlineStr">
        <is>
          <t>No</t>
        </is>
      </c>
    </row>
    <row r="14">
      <c r="A14" s="7" t="inlineStr">
        <is>
          <t>MCH-012</t>
        </is>
      </c>
      <c r="B14" s="8" t="n">
        <v>84</v>
      </c>
      <c r="C14" s="8" t="n">
        <v>97.2</v>
      </c>
      <c r="D14" s="9" t="n">
        <v>4.3</v>
      </c>
      <c r="E14" s="8" t="n">
        <v>65</v>
      </c>
      <c r="F14" s="10" t="n">
        <v>4200</v>
      </c>
      <c r="G14" s="7" t="inlineStr">
        <is>
          <t>Poor</t>
        </is>
      </c>
      <c r="H14" s="7" t="inlineStr">
        <is>
          <t>Yes</t>
        </is>
      </c>
    </row>
    <row r="15">
      <c r="A15" s="3" t="inlineStr">
        <is>
          <t>MCH-013</t>
        </is>
      </c>
      <c r="B15" s="4" t="n">
        <v>69.5</v>
      </c>
      <c r="C15" s="4" t="n">
        <v>80.09999999999999</v>
      </c>
      <c r="D15" s="5" t="n">
        <v>1.9</v>
      </c>
      <c r="E15" s="4" t="n">
        <v>40</v>
      </c>
      <c r="F15" s="6" t="n">
        <v>1100</v>
      </c>
      <c r="G15" s="3" t="inlineStr">
        <is>
          <t>Good</t>
        </is>
      </c>
      <c r="H15" s="3" t="inlineStr">
        <is>
          <t>No</t>
        </is>
      </c>
    </row>
    <row r="16">
      <c r="A16" s="7" t="inlineStr">
        <is>
          <t>MCH-014</t>
        </is>
      </c>
      <c r="B16" s="8" t="n">
        <v>86.2</v>
      </c>
      <c r="C16" s="8" t="n">
        <v>100.5</v>
      </c>
      <c r="D16" s="9" t="n">
        <v>4.6</v>
      </c>
      <c r="E16" s="8" t="n">
        <v>67</v>
      </c>
      <c r="F16" s="10" t="n">
        <v>4600</v>
      </c>
      <c r="G16" s="7" t="inlineStr">
        <is>
          <t>Average</t>
        </is>
      </c>
      <c r="H16" s="7" t="inlineStr">
        <is>
          <t>Yes</t>
        </is>
      </c>
    </row>
    <row r="17">
      <c r="A17" s="3" t="inlineStr">
        <is>
          <t>MCH-015</t>
        </is>
      </c>
      <c r="B17" s="4" t="n">
        <v>73</v>
      </c>
      <c r="C17" s="4" t="n">
        <v>86.5</v>
      </c>
      <c r="D17" s="5" t="n">
        <v>2.5</v>
      </c>
      <c r="E17" s="4" t="n">
        <v>48</v>
      </c>
      <c r="F17" s="6" t="n">
        <v>1800</v>
      </c>
      <c r="G17" s="3" t="inlineStr">
        <is>
          <t>Good</t>
        </is>
      </c>
      <c r="H17" s="3" t="inlineStr">
        <is>
          <t>No</t>
        </is>
      </c>
    </row>
    <row r="18">
      <c r="A18" s="7" t="inlineStr">
        <is>
          <t>MCH-016</t>
        </is>
      </c>
      <c r="B18" s="8" t="n">
        <v>89.5</v>
      </c>
      <c r="C18" s="8" t="n">
        <v>101.8</v>
      </c>
      <c r="D18" s="9" t="n">
        <v>4.9</v>
      </c>
      <c r="E18" s="8" t="n">
        <v>69</v>
      </c>
      <c r="F18" s="10" t="n">
        <v>4900</v>
      </c>
      <c r="G18" s="7" t="inlineStr">
        <is>
          <t>Poor</t>
        </is>
      </c>
      <c r="H18" s="7" t="inlineStr">
        <is>
          <t>Yes</t>
        </is>
      </c>
    </row>
    <row r="19">
      <c r="A19" s="3" t="inlineStr">
        <is>
          <t>MCH-017</t>
        </is>
      </c>
      <c r="B19" s="4" t="n">
        <v>71.5</v>
      </c>
      <c r="C19" s="4" t="n">
        <v>83.2</v>
      </c>
      <c r="D19" s="5" t="n">
        <v>2.2</v>
      </c>
      <c r="E19" s="4" t="n">
        <v>44</v>
      </c>
      <c r="F19" s="6" t="n">
        <v>1400</v>
      </c>
      <c r="G19" s="3" t="inlineStr">
        <is>
          <t>Good</t>
        </is>
      </c>
      <c r="H19" s="3" t="inlineStr">
        <is>
          <t>No</t>
        </is>
      </c>
    </row>
    <row r="20">
      <c r="A20" s="7" t="inlineStr">
        <is>
          <t>MCH-018</t>
        </is>
      </c>
      <c r="B20" s="8" t="n">
        <v>87</v>
      </c>
      <c r="C20" s="8" t="n">
        <v>99.3</v>
      </c>
      <c r="D20" s="9" t="n">
        <v>4.4</v>
      </c>
      <c r="E20" s="8" t="n">
        <v>64</v>
      </c>
      <c r="F20" s="10" t="n">
        <v>4400</v>
      </c>
      <c r="G20" s="7" t="inlineStr">
        <is>
          <t>Average</t>
        </is>
      </c>
      <c r="H20" s="7" t="inlineStr">
        <is>
          <t>Yes</t>
        </is>
      </c>
    </row>
    <row r="22" ht="35" customHeight="1">
      <c r="A22" s="11" t="inlineStr">
        <is>
          <t>Note: This dataset is synthetic and designed to demonstrate machine failure risk patterns. Higher temperature, pressure, vibration, and runtime hours are associated with increased failure likelihood, especially when maintenance status is Poor or Average.</t>
        </is>
      </c>
    </row>
  </sheetData>
  <autoFilter ref="A2:H20"/>
  <mergeCells count="2">
    <mergeCell ref="A22:H22"/>
    <mergeCell ref="A1:H1"/>
  </mergeCells>
  <conditionalFormatting sqref="B3:B20">
    <cfRule type="cellIs" priority="1" operator="greaterThanOrEqual" dxfId="0">
      <formula>80</formula>
    </cfRule>
  </conditionalFormatting>
  <conditionalFormatting sqref="C3:C20">
    <cfRule type="cellIs" priority="2" operator="greaterThanOrEqual" dxfId="0">
      <formula>95</formula>
    </cfRule>
  </conditionalFormatting>
  <conditionalFormatting sqref="D3:D20">
    <cfRule type="cellIs" priority="3" operator="greaterThanOrEqual" dxfId="0">
      <formula>4.0</formula>
    </cfRule>
  </conditionalFormatting>
  <conditionalFormatting sqref="F3:F20">
    <cfRule type="cellIs" priority="4" operator="greaterThanOrEqual" dxfId="1">
      <formula>4000</formula>
    </cfRule>
  </conditionalFormatting>
  <conditionalFormatting sqref="H3:H20">
    <cfRule type="cellIs" priority="5" operator="equal" dxfId="2">
      <formula>"Yes"</formula>
    </cfRule>
  </conditionalFormatting>
  <conditionalFormatting sqref="G3:G20">
    <cfRule type="cellIs" priority="6" operator="equal" dxfId="3">
      <formula>"Poor"</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RowHeight="15"/>
  <cols>
    <col width="35" customWidth="1" min="1" max="1"/>
    <col width="20" customWidth="1" min="2" max="2"/>
    <col width="20" customWidth="1" min="3" max="3"/>
    <col width="15" customWidth="1" min="4" max="4"/>
  </cols>
  <sheetData>
    <row r="1" ht="25" customHeight="1">
      <c r="A1" s="1" t="inlineStr">
        <is>
          <t>Failure Pattern Summary</t>
        </is>
      </c>
    </row>
    <row r="3">
      <c r="A3" s="12" t="inlineStr">
        <is>
          <t>Summary Metrics</t>
        </is>
      </c>
    </row>
    <row r="4">
      <c r="A4" s="13" t="inlineStr">
        <is>
          <t>Total Machines</t>
        </is>
      </c>
      <c r="B4" s="14">
        <f>COUNTA('Machine Failure Dataset'!A3:A20)</f>
        <v/>
      </c>
    </row>
    <row r="5">
      <c r="A5" s="13" t="inlineStr">
        <is>
          <t>Failed Machines</t>
        </is>
      </c>
      <c r="B5" s="14">
        <f>COUNTIF('Machine Failure Dataset'!H3:H20,"Yes")</f>
        <v/>
      </c>
    </row>
    <row r="6">
      <c r="A6" s="13" t="inlineStr">
        <is>
          <t>Failure Rate (%)</t>
        </is>
      </c>
      <c r="B6" s="15">
        <f>IFERROR(COUNTIF('Machine Failure Dataset'!H3:H20,"Yes")/COUNTA('Machine Failure Dataset'!A3:A20)*100,0)</f>
        <v/>
      </c>
    </row>
    <row r="9">
      <c r="A9" s="12" t="inlineStr">
        <is>
          <t>Comparative Analysis: Failed vs Non-Failed Machines</t>
        </is>
      </c>
    </row>
    <row r="10">
      <c r="A10" s="16" t="inlineStr">
        <is>
          <t>Metric</t>
        </is>
      </c>
      <c r="B10" s="16" t="inlineStr">
        <is>
          <t>Failed Machines</t>
        </is>
      </c>
      <c r="C10" s="16" t="inlineStr">
        <is>
          <t>Non-Failed Machines</t>
        </is>
      </c>
    </row>
    <row r="11">
      <c r="A11" s="17" t="inlineStr">
        <is>
          <t>Avg Temperature (°C)</t>
        </is>
      </c>
      <c r="B11" s="18">
        <f>IFERROR(AVERAGEIF('Machine Failure Dataset'!H3:H20,"Yes",'Machine Failure Dataset'!B3:B20),0)</f>
        <v/>
      </c>
      <c r="C11" s="19">
        <f>IFERROR(AVERAGEIF('Machine Failure Dataset'!H3:H20,"No",'Machine Failure Dataset'!B3:B20),0)</f>
        <v/>
      </c>
    </row>
    <row r="12">
      <c r="A12" s="17" t="inlineStr">
        <is>
          <t>Avg Pressure (PSI)</t>
        </is>
      </c>
      <c r="B12" s="18">
        <f>IFERROR(AVERAGEIF('Machine Failure Dataset'!H3:H20,"Yes",'Machine Failure Dataset'!C3:C20),0)</f>
        <v/>
      </c>
      <c r="C12" s="19">
        <f>IFERROR(AVERAGEIF('Machine Failure Dataset'!H3:H20,"No",'Machine Failure Dataset'!C3:C20),0)</f>
        <v/>
      </c>
    </row>
    <row r="13">
      <c r="A13" s="17" t="inlineStr">
        <is>
          <t>Avg Vibration Level</t>
        </is>
      </c>
      <c r="B13" s="18">
        <f>IFERROR(AVERAGEIF('Machine Failure Dataset'!H3:H20,"Yes",'Machine Failure Dataset'!D3:D20),0)</f>
        <v/>
      </c>
      <c r="C13" s="19">
        <f>IFERROR(AVERAGEIF('Machine Failure Dataset'!H3:H20,"No",'Machine Failure Dataset'!D3:D20),0)</f>
        <v/>
      </c>
    </row>
    <row r="14">
      <c r="A14" s="17" t="inlineStr">
        <is>
          <t>Avg Runtime Hours</t>
        </is>
      </c>
      <c r="B14" s="18">
        <f>IFERROR(AVERAGEIF('Machine Failure Dataset'!H3:H20,"Yes",'Machine Failure Dataset'!F3:F20),0)</f>
        <v/>
      </c>
      <c r="C14" s="19">
        <f>IFERROR(AVERAGEIF('Machine Failure Dataset'!H3:H20,"No",'Machine Failure Dataset'!F3:F20),0)</f>
        <v/>
      </c>
    </row>
    <row r="17">
      <c r="A17" s="12" t="inlineStr">
        <is>
          <t>Key Insights</t>
        </is>
      </c>
    </row>
    <row r="18" ht="18" customHeight="1">
      <c r="A18" s="20" t="inlineStr">
        <is>
          <t>• Higher operating temperature is strongly associated with machine failures.</t>
        </is>
      </c>
    </row>
    <row r="19" ht="18" customHeight="1">
      <c r="A19" s="20" t="inlineStr">
        <is>
          <t>• Elevated pressure levels correlate with increased failure risk.</t>
        </is>
      </c>
    </row>
    <row r="20" ht="18" customHeight="1">
      <c r="A20" s="20" t="inlineStr">
        <is>
          <t>• Excessive vibration levels are a critical failure indicator.</t>
        </is>
      </c>
    </row>
    <row r="21" ht="18" customHeight="1">
      <c r="A21" s="20" t="inlineStr">
        <is>
          <t>• Machines with longer runtime hours show higher failure rates.</t>
        </is>
      </c>
    </row>
    <row r="22" ht="18" customHeight="1">
      <c r="A22" s="20" t="inlineStr">
        <is>
          <t>• Poor maintenance status significantly increases failure likelihood.</t>
        </is>
      </c>
    </row>
    <row r="23" ht="18" customHeight="1">
      <c r="A23" s="20" t="inlineStr">
        <is>
          <t>• Preventive maintenance and temperature/pressure monitoring are essential.</t>
        </is>
      </c>
    </row>
  </sheetData>
  <mergeCells count="7">
    <mergeCell ref="A1:D1"/>
    <mergeCell ref="A23:D23"/>
    <mergeCell ref="A18:D18"/>
    <mergeCell ref="A22:D22"/>
    <mergeCell ref="A20:D20"/>
    <mergeCell ref="A21:D21"/>
    <mergeCell ref="A19:D19"/>
  </mergeCells>
  <pageMargins left="0.75" right="0.75" top="1" bottom="1" header="0.5" footer="0.5"/>
</worksheet>
</file>

<file path=docProps/app.xml><?xml version="1.0" encoding="utf-8"?>
<ns0:Properties xmlns:ns0="http://schemas.openxmlformats.org/officeDocument/2006/extended-properties">
  <ns0:Application>Microsoft Excel</ns0:Application>
  <ns0:AppVersion>16.0</ns0:AppVersion>
</ns0:Properties>
</file>

<file path=docProps/core.xml><?xml version="1.0" encoding="utf-8"?>
<cp:coreProperties xmlns:cp="http://schemas.openxmlformats.org/package/2006/metadata/core-properties" xmlns:dc="http://purl.org/dc/elements/1.1/" xmlns:dcterms="http://purl.org/dc/terms/" xmlns:xsi="http://www.w3.org/2001/XMLSchema-instance">
  <dc:creator>Microsoft Excel</dc:creator>
  <dcterms:created xsi:type="dcterms:W3CDTF">2026-05-14T15:03:34Z</dcterms:created>
  <dcterms:modified xsi:type="dcterms:W3CDTF">2026-05-14T15:03:34Z</dcterms:modified>
  <cp:lastModifiedBy>Microsoft Excel</cp:lastModifiedBy>
</cp:coreProperties>
</file>